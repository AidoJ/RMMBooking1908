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2. NEW APP BUILD\rejuvenators-platform\"/>
    </mc:Choice>
  </mc:AlternateContent>
  <xr:revisionPtr revIDLastSave="0" documentId="8_{D2B467FD-A1C9-4EEA-9AB0-576260412D44}" xr6:coauthVersionLast="47" xr6:coauthVersionMax="47" xr10:uidLastSave="{00000000-0000-0000-0000-000000000000}"/>
  <bookViews>
    <workbookView xWindow="-108" yWindow="-108" windowWidth="23256" windowHeight="12456" xr2:uid="{C25FA5B7-CF1B-4FC0-8C36-9952A3AD945B}"/>
  </bookViews>
  <sheets>
    <sheet name="Sheet1" sheetId="1" r:id="rId1"/>
  </sheets>
  <definedNames>
    <definedName name="_xlnm._FilterDatabase" localSheetId="0" hidden="1">Sheet1!$B$39:$N$46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3" i="1" l="1"/>
  <c r="P37" i="1"/>
  <c r="P20" i="1"/>
</calcChain>
</file>

<file path=xl/sharedStrings.xml><?xml version="1.0" encoding="utf-8"?>
<sst xmlns="http://schemas.openxmlformats.org/spreadsheetml/2006/main" count="167" uniqueCount="77">
  <si>
    <t>Therapist</t>
  </si>
  <si>
    <t>Name</t>
  </si>
  <si>
    <t>BookingID</t>
  </si>
  <si>
    <t>RB2509001</t>
  </si>
  <si>
    <t>Booking ID</t>
  </si>
  <si>
    <t>Customer</t>
  </si>
  <si>
    <t>Company</t>
  </si>
  <si>
    <t>Service</t>
  </si>
  <si>
    <t>Date &amp; Time</t>
  </si>
  <si>
    <t>Status</t>
  </si>
  <si>
    <t>Payment</t>
  </si>
  <si>
    <t>Price</t>
  </si>
  <si>
    <t>Therapist Fee</t>
  </si>
  <si>
    <t>Actions</t>
  </si>
  <si>
    <t>Aishi Zheng</t>
  </si>
  <si>
    <t>9 Glenelg St</t>
  </si>
  <si>
    <t>Stressbuster Massage</t>
  </si>
  <si>
    <t>Kate Pascoe</t>
  </si>
  <si>
    <t>Sep 14, 2025</t>
  </si>
  <si>
    <t>DECLINED</t>
  </si>
  <si>
    <t>AUTHORIZED</t>
  </si>
  <si>
    <t>RMM202508-0041</t>
  </si>
  <si>
    <t>Rydges South Bank Brisbane</t>
  </si>
  <si>
    <t>Sep 07, 2025</t>
  </si>
  <si>
    <t>CONFIRMED</t>
  </si>
  <si>
    <t>PAID</t>
  </si>
  <si>
    <t>RMM202508-0045</t>
  </si>
  <si>
    <t>COMPLETED</t>
  </si>
  <si>
    <t>RMM202508-0042</t>
  </si>
  <si>
    <t>RMM202508-0044</t>
  </si>
  <si>
    <t>Sports Massage</t>
  </si>
  <si>
    <t>Sep 06, 2025</t>
  </si>
  <si>
    <t>RMM202508-0040</t>
  </si>
  <si>
    <t>Aug 31, 2025</t>
  </si>
  <si>
    <t>RMM202508-0043</t>
  </si>
  <si>
    <t>RMM202508-0039</t>
  </si>
  <si>
    <t>7/68 Turner St</t>
  </si>
  <si>
    <t>Aug 30, 2025</t>
  </si>
  <si>
    <t>RMM202508-0028</t>
  </si>
  <si>
    <t>Deep Tissue Massage</t>
  </si>
  <si>
    <t>RMM202508-0038</t>
  </si>
  <si>
    <t>Stamford Plaza Brisbane</t>
  </si>
  <si>
    <t>RMM202508-0036</t>
  </si>
  <si>
    <t>RMM202508-0037</t>
  </si>
  <si>
    <t>Aug 29, 2025</t>
  </si>
  <si>
    <t>RMM202508-0035</t>
  </si>
  <si>
    <t>Aug 28, 2025</t>
  </si>
  <si>
    <t>CAPTURED</t>
  </si>
  <si>
    <t>id</t>
  </si>
  <si>
    <t>booking_id</t>
  </si>
  <si>
    <t>therapist_id</t>
  </si>
  <si>
    <t>status</t>
  </si>
  <si>
    <t>assigned_at</t>
  </si>
  <si>
    <t>confirmed_at</t>
  </si>
  <si>
    <t>notes</t>
  </si>
  <si>
    <t>created_at</t>
  </si>
  <si>
    <t>updated_at</t>
  </si>
  <si>
    <t>therapist_fee</t>
  </si>
  <si>
    <t>hourly_rate</t>
  </si>
  <si>
    <t>hours_worked</t>
  </si>
  <si>
    <t>rate_type</t>
  </si>
  <si>
    <t>331ad118-52c9-442f-a7b6-9830b001efb8</t>
  </si>
  <si>
    <t>bef36c40-72db-4215-a684-d8fbd494ef90</t>
  </si>
  <si>
    <t>36a2b209-f703-4a29-8de0-b77acee15de3</t>
  </si>
  <si>
    <t>assigned</t>
  </si>
  <si>
    <t>weekend</t>
  </si>
  <si>
    <t>49dda095-f042-4d2d-bb16-9affc23e898f</t>
  </si>
  <si>
    <t>e36af56b-7cab-448b-86f7-519e7e58c332</t>
  </si>
  <si>
    <t>daytime</t>
  </si>
  <si>
    <t>5a230d7a-48e8-4ada-9cde-35615133f1dd</t>
  </si>
  <si>
    <t>0210a6c9-1d74-46f3-a28c-ae0c9bef7bd3</t>
  </si>
  <si>
    <t>61945f6c-a788-402a-bed0-3b35df755fd6</t>
  </si>
  <si>
    <t>ea781b68-37f2-4994-829f-d1c4f2eb3d98</t>
  </si>
  <si>
    <t>61c562b8-2ca0-435a-a9ff-c3da59ea56fa</t>
  </si>
  <si>
    <t>847b238c-a2f7-49e1-a72e-5e2b8f011623</t>
  </si>
  <si>
    <t>6ecc3caf-2028-4b8c-a5a1-dac59ff72237</t>
  </si>
  <si>
    <t>beaf1043-cc00-4127-85fd-7bf9a84d3170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</si>
</sst>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3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7"/>
      <color theme="1"/>
      <name val="Consolas"/>
      <family val="3"/>
    </font>
    <font>
      <sz val="7"/>
      <color rgb="FFCF1322"/>
      <name val="Segoe UI"/>
      <family val="2"/>
    </font>
    <font>
      <sz val="7"/>
      <color theme="1"/>
      <name val="Segoe UI"/>
      <family val="2"/>
    </font>
    <font>
      <sz val="8"/>
      <color rgb="FF52C41A"/>
      <name val="Segoe UI"/>
      <family val="2"/>
    </font>
    <font>
      <sz val="8"/>
      <color rgb="FFFA541C"/>
      <name val="Segoe UI"/>
      <family val="2"/>
    </font>
    <font>
      <sz val="7"/>
      <color rgb="FF0958D9"/>
      <name val="Segoe UI"/>
      <family val="2"/>
    </font>
    <font>
      <sz val="7"/>
      <color rgb="FF389E0D"/>
      <name val="Segoe UI"/>
      <family val="2"/>
    </font>
    <font>
      <sz val="8"/>
      <color rgb="FF1890FF"/>
      <name val="Segoe UI"/>
      <family val="2"/>
    </font>
    <font>
      <sz val="8"/>
      <color rgb="FF52C41A"/>
      <name val="Courier New"/>
      <family val="3"/>
    </font>
    <font>
      <sz val="10"/>
      <color rgb="FF52C41A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/>
      <right/>
      <top style="medium">
        <color rgb="FFF0F0F0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 indent="1"/>
    </xf>
    <xf numFmtId="20" fontId="2" fillId="2" borderId="1" xfId="0" applyNumberFormat="1" applyFont="1" applyFill="1" applyBorder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20" fontId="2" fillId="3" borderId="1" xfId="0" applyNumberFormat="1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0" xfId="0" applyFont="1" applyFill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8" fontId="6" fillId="2" borderId="0" xfId="0" applyNumberFormat="1" applyFont="1" applyFill="1" applyAlignment="1">
      <alignment horizontal="left" vertical="center" wrapText="1" indent="1"/>
    </xf>
    <xf numFmtId="8" fontId="6" fillId="2" borderId="1" xfId="0" applyNumberFormat="1" applyFont="1" applyFill="1" applyBorder="1" applyAlignment="1">
      <alignment horizontal="left" vertical="center" wrapText="1" indent="1"/>
    </xf>
    <xf numFmtId="8" fontId="7" fillId="2" borderId="0" xfId="0" applyNumberFormat="1" applyFont="1" applyFill="1" applyAlignment="1">
      <alignment horizontal="left" vertical="center" wrapText="1" indent="1"/>
    </xf>
    <xf numFmtId="8" fontId="7" fillId="2" borderId="1" xfId="0" applyNumberFormat="1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8" fillId="2" borderId="2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1"/>
    </xf>
    <xf numFmtId="0" fontId="9" fillId="2" borderId="2" xfId="0" applyFont="1" applyFill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left" vertical="center" wrapText="1" indent="1"/>
    </xf>
    <xf numFmtId="8" fontId="6" fillId="2" borderId="2" xfId="0" applyNumberFormat="1" applyFont="1" applyFill="1" applyBorder="1" applyAlignment="1">
      <alignment horizontal="left" vertical="center" wrapText="1" indent="1"/>
    </xf>
    <xf numFmtId="8" fontId="7" fillId="2" borderId="2" xfId="0" applyNumberFormat="1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9" fillId="3" borderId="2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 indent="1"/>
    </xf>
    <xf numFmtId="8" fontId="6" fillId="3" borderId="2" xfId="0" applyNumberFormat="1" applyFont="1" applyFill="1" applyBorder="1" applyAlignment="1">
      <alignment horizontal="left" vertical="center" wrapText="1" indent="1"/>
    </xf>
    <xf numFmtId="8" fontId="6" fillId="3" borderId="1" xfId="0" applyNumberFormat="1" applyFont="1" applyFill="1" applyBorder="1" applyAlignment="1">
      <alignment horizontal="left" vertical="center" wrapText="1" indent="1"/>
    </xf>
    <xf numFmtId="8" fontId="7" fillId="3" borderId="2" xfId="0" applyNumberFormat="1" applyFont="1" applyFill="1" applyBorder="1" applyAlignment="1">
      <alignment horizontal="left" vertical="center" wrapText="1" indent="1"/>
    </xf>
    <xf numFmtId="8" fontId="7" fillId="3" borderId="1" xfId="0" applyNumberFormat="1" applyFont="1" applyFill="1" applyBorder="1" applyAlignment="1">
      <alignment horizontal="left" vertical="center" wrapText="1" indent="1"/>
    </xf>
    <xf numFmtId="0" fontId="1" fillId="3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7" fontId="2" fillId="3" borderId="1" xfId="0" applyNumberFormat="1" applyFont="1" applyFill="1" applyBorder="1" applyAlignment="1">
      <alignment vertical="center" wrapText="1"/>
    </xf>
    <xf numFmtId="17" fontId="2" fillId="3" borderId="2" xfId="0" applyNumberFormat="1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1" fillId="3" borderId="2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8" fontId="12" fillId="3" borderId="2" xfId="0" applyNumberFormat="1" applyFont="1" applyFill="1" applyBorder="1" applyAlignment="1">
      <alignment horizontal="right" vertical="center" wrapText="1"/>
    </xf>
    <xf numFmtId="8" fontId="12" fillId="3" borderId="1" xfId="0" applyNumberFormat="1" applyFont="1" applyFill="1" applyBorder="1" applyAlignment="1">
      <alignment horizontal="right" vertical="center" wrapText="1"/>
    </xf>
    <xf numFmtId="0" fontId="9" fillId="3" borderId="2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47" fontId="0" fillId="0" borderId="0" xfId="0" applyNumberFormat="1"/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 indent="1"/>
    </xf>
    <xf numFmtId="0" fontId="1" fillId="2" borderId="0" xfId="0" applyFont="1" applyFill="1" applyBorder="1" applyAlignment="1">
      <alignment horizontal="left" vertical="center" wrapText="1" indent="1"/>
    </xf>
    <xf numFmtId="0" fontId="2" fillId="2" borderId="0" xfId="0" applyFont="1" applyFill="1" applyBorder="1" applyAlignment="1">
      <alignment horizontal="left" vertical="center" wrapText="1" indent="1"/>
    </xf>
    <xf numFmtId="20" fontId="2" fillId="2" borderId="0" xfId="0" applyNumberFormat="1" applyFont="1" applyFill="1" applyBorder="1" applyAlignment="1">
      <alignment horizontal="left" vertical="center" wrapText="1" indent="1"/>
    </xf>
    <xf numFmtId="0" fontId="9" fillId="2" borderId="0" xfId="0" applyFont="1" applyFill="1" applyBorder="1" applyAlignment="1">
      <alignment horizontal="left" vertical="center" wrapText="1" indent="1"/>
    </xf>
    <xf numFmtId="8" fontId="6" fillId="2" borderId="0" xfId="0" applyNumberFormat="1" applyFont="1" applyFill="1" applyBorder="1" applyAlignment="1">
      <alignment horizontal="left" vertical="center" wrapText="1" indent="1"/>
    </xf>
    <xf numFmtId="8" fontId="7" fillId="2" borderId="0" xfId="0" applyNumberFormat="1" applyFont="1" applyFill="1" applyBorder="1" applyAlignment="1">
      <alignment horizontal="left" vertical="center" wrapText="1" indent="1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8145-5B1D-4AFF-977B-9892A6586D47}">
  <sheetPr codeName="Sheet1"/>
  <dimension ref="B3:P48"/>
  <sheetViews>
    <sheetView tabSelected="1" topLeftCell="B33" workbookViewId="0">
      <selection activeCell="M48" sqref="M48"/>
    </sheetView>
  </sheetViews>
  <sheetFormatPr defaultRowHeight="14.4" x14ac:dyDescent="0.3"/>
  <cols>
    <col min="3" max="3" width="15.6640625" customWidth="1"/>
    <col min="4" max="4" width="41.5546875" customWidth="1"/>
    <col min="6" max="6" width="12" customWidth="1"/>
    <col min="9" max="9" width="20.44140625" customWidth="1"/>
    <col min="10" max="10" width="11.33203125" customWidth="1"/>
  </cols>
  <sheetData>
    <row r="3" spans="2:14" x14ac:dyDescent="0.3">
      <c r="B3" t="s">
        <v>1</v>
      </c>
      <c r="C3" t="s">
        <v>0</v>
      </c>
    </row>
    <row r="4" spans="2:14" x14ac:dyDescent="0.3">
      <c r="D4" t="s">
        <v>2</v>
      </c>
    </row>
    <row r="5" spans="2:14" x14ac:dyDescent="0.3">
      <c r="D5" t="s">
        <v>3</v>
      </c>
    </row>
    <row r="8" spans="2:14" ht="23.4" thickBot="1" x14ac:dyDescent="0.35">
      <c r="C8" s="2"/>
      <c r="D8" s="2" t="s">
        <v>4</v>
      </c>
      <c r="E8" s="2" t="s">
        <v>5</v>
      </c>
      <c r="F8" s="2" t="s">
        <v>6</v>
      </c>
      <c r="G8" s="2" t="s">
        <v>7</v>
      </c>
      <c r="H8" s="2" t="s">
        <v>0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</row>
    <row r="9" spans="2:14" x14ac:dyDescent="0.3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2:14" ht="22.8" x14ac:dyDescent="0.3">
      <c r="C10" s="8"/>
      <c r="D10" s="10" t="s">
        <v>3</v>
      </c>
      <c r="E10" s="12" t="s">
        <v>14</v>
      </c>
      <c r="F10" s="14" t="s">
        <v>15</v>
      </c>
      <c r="G10" s="14" t="s">
        <v>16</v>
      </c>
      <c r="H10" s="14" t="s">
        <v>17</v>
      </c>
      <c r="I10" s="4" t="s">
        <v>18</v>
      </c>
      <c r="J10" s="16" t="s">
        <v>19</v>
      </c>
      <c r="K10" s="18" t="s">
        <v>20</v>
      </c>
      <c r="L10" s="20">
        <v>212.5</v>
      </c>
      <c r="M10" s="22">
        <v>105</v>
      </c>
      <c r="N10" s="14"/>
    </row>
    <row r="11" spans="2:14" ht="15" thickBot="1" x14ac:dyDescent="0.35">
      <c r="C11" s="9"/>
      <c r="D11" s="11"/>
      <c r="E11" s="13"/>
      <c r="F11" s="15"/>
      <c r="G11" s="15"/>
      <c r="H11" s="15"/>
      <c r="I11" s="5">
        <v>0.58333333333333337</v>
      </c>
      <c r="J11" s="17"/>
      <c r="K11" s="19"/>
      <c r="L11" s="21"/>
      <c r="M11" s="23"/>
      <c r="N11" s="15"/>
    </row>
    <row r="12" spans="2:14" ht="22.8" x14ac:dyDescent="0.3">
      <c r="C12" s="24"/>
      <c r="D12" s="25" t="s">
        <v>21</v>
      </c>
      <c r="E12" s="26" t="s">
        <v>14</v>
      </c>
      <c r="F12" s="27" t="s">
        <v>22</v>
      </c>
      <c r="G12" s="27" t="s">
        <v>16</v>
      </c>
      <c r="H12" s="27" t="s">
        <v>17</v>
      </c>
      <c r="I12" s="4" t="s">
        <v>23</v>
      </c>
      <c r="J12" s="28" t="s">
        <v>24</v>
      </c>
      <c r="K12" s="30" t="s">
        <v>25</v>
      </c>
      <c r="L12" s="32">
        <v>212.5</v>
      </c>
      <c r="M12" s="33">
        <v>105</v>
      </c>
      <c r="N12" s="27"/>
    </row>
    <row r="13" spans="2:14" ht="15" thickBot="1" x14ac:dyDescent="0.35">
      <c r="C13" s="9"/>
      <c r="D13" s="11"/>
      <c r="E13" s="13"/>
      <c r="F13" s="15"/>
      <c r="G13" s="15"/>
      <c r="H13" s="15"/>
      <c r="I13" s="5">
        <v>0.66666666666666663</v>
      </c>
      <c r="J13" s="29"/>
      <c r="K13" s="31"/>
      <c r="L13" s="21"/>
      <c r="M13" s="23"/>
      <c r="N13" s="15"/>
    </row>
    <row r="14" spans="2:14" ht="22.8" x14ac:dyDescent="0.3">
      <c r="C14" s="24"/>
      <c r="D14" s="25" t="s">
        <v>26</v>
      </c>
      <c r="E14" s="26" t="s">
        <v>14</v>
      </c>
      <c r="F14" s="27" t="s">
        <v>15</v>
      </c>
      <c r="G14" s="27" t="s">
        <v>16</v>
      </c>
      <c r="H14" s="27" t="s">
        <v>17</v>
      </c>
      <c r="I14" s="4" t="s">
        <v>23</v>
      </c>
      <c r="J14" s="30" t="s">
        <v>27</v>
      </c>
      <c r="K14" s="30" t="s">
        <v>25</v>
      </c>
      <c r="L14" s="32">
        <v>212.5</v>
      </c>
      <c r="M14" s="33">
        <v>105</v>
      </c>
      <c r="N14" s="27"/>
    </row>
    <row r="15" spans="2:14" ht="15" thickBot="1" x14ac:dyDescent="0.35">
      <c r="C15" s="9"/>
      <c r="D15" s="11"/>
      <c r="E15" s="13"/>
      <c r="F15" s="15"/>
      <c r="G15" s="15"/>
      <c r="H15" s="15"/>
      <c r="I15" s="5">
        <v>0.58333333333333337</v>
      </c>
      <c r="J15" s="31"/>
      <c r="K15" s="31"/>
      <c r="L15" s="21"/>
      <c r="M15" s="23"/>
      <c r="N15" s="15"/>
    </row>
    <row r="16" spans="2:14" ht="22.8" x14ac:dyDescent="0.3">
      <c r="C16" s="24"/>
      <c r="D16" s="25" t="s">
        <v>28</v>
      </c>
      <c r="E16" s="26" t="s">
        <v>14</v>
      </c>
      <c r="F16" s="27" t="s">
        <v>15</v>
      </c>
      <c r="G16" s="27" t="s">
        <v>16</v>
      </c>
      <c r="H16" s="27" t="s">
        <v>17</v>
      </c>
      <c r="I16" s="4" t="s">
        <v>23</v>
      </c>
      <c r="J16" s="30" t="s">
        <v>27</v>
      </c>
      <c r="K16" s="30" t="s">
        <v>25</v>
      </c>
      <c r="L16" s="32">
        <v>318.75</v>
      </c>
      <c r="M16" s="33">
        <v>157.5</v>
      </c>
      <c r="N16" s="27"/>
    </row>
    <row r="17" spans="3:16" ht="15" thickBot="1" x14ac:dyDescent="0.35">
      <c r="C17" s="9"/>
      <c r="D17" s="11"/>
      <c r="E17" s="13"/>
      <c r="F17" s="15"/>
      <c r="G17" s="15"/>
      <c r="H17" s="15"/>
      <c r="I17" s="5">
        <v>0.5</v>
      </c>
      <c r="J17" s="31"/>
      <c r="K17" s="31"/>
      <c r="L17" s="21"/>
      <c r="M17" s="23"/>
      <c r="N17" s="15"/>
    </row>
    <row r="18" spans="3:16" ht="22.8" x14ac:dyDescent="0.3">
      <c r="C18" s="24"/>
      <c r="D18" s="25" t="s">
        <v>29</v>
      </c>
      <c r="E18" s="26" t="s">
        <v>14</v>
      </c>
      <c r="F18" s="27" t="s">
        <v>15</v>
      </c>
      <c r="G18" s="27" t="s">
        <v>30</v>
      </c>
      <c r="H18" s="27" t="s">
        <v>17</v>
      </c>
      <c r="I18" s="4" t="s">
        <v>31</v>
      </c>
      <c r="J18" s="30" t="s">
        <v>27</v>
      </c>
      <c r="K18" s="30" t="s">
        <v>25</v>
      </c>
      <c r="L18" s="32">
        <v>225</v>
      </c>
      <c r="M18" s="33">
        <v>105</v>
      </c>
      <c r="N18" s="27"/>
    </row>
    <row r="19" spans="3:16" ht="15" thickBot="1" x14ac:dyDescent="0.35">
      <c r="C19" s="9"/>
      <c r="D19" s="11"/>
      <c r="E19" s="13"/>
      <c r="F19" s="15"/>
      <c r="G19" s="15"/>
      <c r="H19" s="15"/>
      <c r="I19" s="5">
        <v>0.66666666666666663</v>
      </c>
      <c r="J19" s="31"/>
      <c r="K19" s="31"/>
      <c r="L19" s="21"/>
      <c r="M19" s="23"/>
      <c r="N19" s="15"/>
    </row>
    <row r="20" spans="3:16" ht="15" thickBot="1" x14ac:dyDescent="0.35">
      <c r="C20" s="69"/>
      <c r="D20" s="70"/>
      <c r="E20" s="71"/>
      <c r="F20" s="72"/>
      <c r="G20" s="72"/>
      <c r="H20" s="72"/>
      <c r="I20" s="73"/>
      <c r="J20" s="74"/>
      <c r="K20" s="74"/>
      <c r="L20" s="75"/>
      <c r="M20" s="76"/>
      <c r="N20" s="72"/>
      <c r="P20" s="77">
        <f>SUM(M10:M19)</f>
        <v>577.5</v>
      </c>
    </row>
    <row r="21" spans="3:16" x14ac:dyDescent="0.3">
      <c r="C21" s="24"/>
      <c r="D21" s="25" t="s">
        <v>32</v>
      </c>
      <c r="E21" s="26" t="s">
        <v>14</v>
      </c>
      <c r="F21" s="27" t="s">
        <v>15</v>
      </c>
      <c r="G21" s="27" t="s">
        <v>16</v>
      </c>
      <c r="H21" s="27" t="s">
        <v>17</v>
      </c>
      <c r="I21" s="4" t="s">
        <v>33</v>
      </c>
      <c r="J21" s="34" t="s">
        <v>19</v>
      </c>
      <c r="K21" s="35" t="s">
        <v>20</v>
      </c>
      <c r="L21" s="32">
        <v>265.63</v>
      </c>
      <c r="M21" s="33">
        <v>131.25</v>
      </c>
      <c r="N21" s="27"/>
    </row>
    <row r="22" spans="3:16" ht="15" thickBot="1" x14ac:dyDescent="0.35">
      <c r="C22" s="9"/>
      <c r="D22" s="11"/>
      <c r="E22" s="13"/>
      <c r="F22" s="15"/>
      <c r="G22" s="15"/>
      <c r="H22" s="15"/>
      <c r="I22" s="5">
        <v>0.70833333333333337</v>
      </c>
      <c r="J22" s="17"/>
      <c r="K22" s="19"/>
      <c r="L22" s="21"/>
      <c r="M22" s="23"/>
      <c r="N22" s="15"/>
    </row>
    <row r="23" spans="3:16" ht="22.8" x14ac:dyDescent="0.3">
      <c r="C23" s="24"/>
      <c r="D23" s="25" t="s">
        <v>34</v>
      </c>
      <c r="E23" s="26" t="s">
        <v>14</v>
      </c>
      <c r="F23" s="27" t="s">
        <v>15</v>
      </c>
      <c r="G23" s="27" t="s">
        <v>16</v>
      </c>
      <c r="H23" s="27" t="s">
        <v>17</v>
      </c>
      <c r="I23" s="4" t="s">
        <v>33</v>
      </c>
      <c r="J23" s="30" t="s">
        <v>27</v>
      </c>
      <c r="K23" s="30" t="s">
        <v>25</v>
      </c>
      <c r="L23" s="32">
        <v>318.75</v>
      </c>
      <c r="M23" s="33">
        <v>157.5</v>
      </c>
      <c r="N23" s="27"/>
    </row>
    <row r="24" spans="3:16" ht="15" thickBot="1" x14ac:dyDescent="0.35">
      <c r="C24" s="9"/>
      <c r="D24" s="11"/>
      <c r="E24" s="13"/>
      <c r="F24" s="15"/>
      <c r="G24" s="15"/>
      <c r="H24" s="15"/>
      <c r="I24" s="5">
        <v>0.58333333333333337</v>
      </c>
      <c r="J24" s="31"/>
      <c r="K24" s="31"/>
      <c r="L24" s="21"/>
      <c r="M24" s="23"/>
      <c r="N24" s="15"/>
    </row>
    <row r="25" spans="3:16" ht="22.8" x14ac:dyDescent="0.3">
      <c r="C25" s="24"/>
      <c r="D25" s="25" t="s">
        <v>35</v>
      </c>
      <c r="E25" s="26" t="s">
        <v>14</v>
      </c>
      <c r="F25" s="27" t="s">
        <v>36</v>
      </c>
      <c r="G25" s="27" t="s">
        <v>16</v>
      </c>
      <c r="H25" s="27" t="s">
        <v>17</v>
      </c>
      <c r="I25" s="4" t="s">
        <v>37</v>
      </c>
      <c r="J25" s="30" t="s">
        <v>27</v>
      </c>
      <c r="K25" s="30" t="s">
        <v>25</v>
      </c>
      <c r="L25" s="32">
        <v>265.63</v>
      </c>
      <c r="M25" s="33">
        <v>131.25</v>
      </c>
      <c r="N25" s="27"/>
    </row>
    <row r="26" spans="3:16" ht="15" thickBot="1" x14ac:dyDescent="0.35">
      <c r="C26" s="9"/>
      <c r="D26" s="11"/>
      <c r="E26" s="13"/>
      <c r="F26" s="15"/>
      <c r="G26" s="15"/>
      <c r="H26" s="15"/>
      <c r="I26" s="5">
        <v>0.75</v>
      </c>
      <c r="J26" s="31"/>
      <c r="K26" s="31"/>
      <c r="L26" s="21"/>
      <c r="M26" s="23"/>
      <c r="N26" s="15"/>
    </row>
    <row r="27" spans="3:16" ht="22.8" x14ac:dyDescent="0.3">
      <c r="C27" s="24"/>
      <c r="D27" s="25" t="s">
        <v>38</v>
      </c>
      <c r="E27" s="26" t="s">
        <v>14</v>
      </c>
      <c r="F27" s="27" t="s">
        <v>22</v>
      </c>
      <c r="G27" s="27" t="s">
        <v>39</v>
      </c>
      <c r="H27" s="27" t="s">
        <v>17</v>
      </c>
      <c r="I27" s="4" t="s">
        <v>37</v>
      </c>
      <c r="J27" s="30" t="s">
        <v>27</v>
      </c>
      <c r="K27" s="30" t="s">
        <v>25</v>
      </c>
      <c r="L27" s="32">
        <v>250</v>
      </c>
      <c r="M27" s="33">
        <v>131.25</v>
      </c>
      <c r="N27" s="27"/>
    </row>
    <row r="28" spans="3:16" ht="15" thickBot="1" x14ac:dyDescent="0.35">
      <c r="C28" s="9"/>
      <c r="D28" s="11"/>
      <c r="E28" s="13"/>
      <c r="F28" s="15"/>
      <c r="G28" s="15"/>
      <c r="H28" s="15"/>
      <c r="I28" s="5">
        <v>0.75</v>
      </c>
      <c r="J28" s="31"/>
      <c r="K28" s="31"/>
      <c r="L28" s="21"/>
      <c r="M28" s="23"/>
      <c r="N28" s="15"/>
    </row>
    <row r="29" spans="3:16" ht="22.8" x14ac:dyDescent="0.3">
      <c r="C29" s="24"/>
      <c r="D29" s="25" t="s">
        <v>40</v>
      </c>
      <c r="E29" s="26" t="s">
        <v>14</v>
      </c>
      <c r="F29" s="27" t="s">
        <v>41</v>
      </c>
      <c r="G29" s="27" t="s">
        <v>16</v>
      </c>
      <c r="H29" s="27" t="s">
        <v>17</v>
      </c>
      <c r="I29" s="4" t="s">
        <v>37</v>
      </c>
      <c r="J29" s="34" t="s">
        <v>19</v>
      </c>
      <c r="K29" s="35" t="s">
        <v>20</v>
      </c>
      <c r="L29" s="32">
        <v>265.63</v>
      </c>
      <c r="M29" s="33">
        <v>131.25</v>
      </c>
      <c r="N29" s="27"/>
    </row>
    <row r="30" spans="3:16" ht="15" thickBot="1" x14ac:dyDescent="0.35">
      <c r="C30" s="9"/>
      <c r="D30" s="11"/>
      <c r="E30" s="13"/>
      <c r="F30" s="15"/>
      <c r="G30" s="15"/>
      <c r="H30" s="15"/>
      <c r="I30" s="5">
        <v>0.66666666666666663</v>
      </c>
      <c r="J30" s="17"/>
      <c r="K30" s="19"/>
      <c r="L30" s="21"/>
      <c r="M30" s="23"/>
      <c r="N30" s="15"/>
    </row>
    <row r="31" spans="3:16" ht="22.8" x14ac:dyDescent="0.3">
      <c r="C31" s="24"/>
      <c r="D31" s="25" t="s">
        <v>42</v>
      </c>
      <c r="E31" s="26" t="s">
        <v>14</v>
      </c>
      <c r="F31" s="27" t="s">
        <v>41</v>
      </c>
      <c r="G31" s="27" t="s">
        <v>16</v>
      </c>
      <c r="H31" s="27" t="s">
        <v>17</v>
      </c>
      <c r="I31" s="4" t="s">
        <v>37</v>
      </c>
      <c r="J31" s="30" t="s">
        <v>27</v>
      </c>
      <c r="K31" s="35" t="s">
        <v>20</v>
      </c>
      <c r="L31" s="32">
        <v>212.5</v>
      </c>
      <c r="M31" s="33">
        <v>105</v>
      </c>
      <c r="N31" s="27"/>
    </row>
    <row r="32" spans="3:16" ht="15" thickBot="1" x14ac:dyDescent="0.35">
      <c r="C32" s="9"/>
      <c r="D32" s="11"/>
      <c r="E32" s="13"/>
      <c r="F32" s="15"/>
      <c r="G32" s="15"/>
      <c r="H32" s="15"/>
      <c r="I32" s="5">
        <v>0.58333333333333337</v>
      </c>
      <c r="J32" s="31"/>
      <c r="K32" s="19"/>
      <c r="L32" s="21"/>
      <c r="M32" s="23"/>
      <c r="N32" s="15"/>
    </row>
    <row r="33" spans="2:16" ht="22.8" x14ac:dyDescent="0.3">
      <c r="C33" s="24"/>
      <c r="D33" s="25" t="s">
        <v>43</v>
      </c>
      <c r="E33" s="26" t="s">
        <v>14</v>
      </c>
      <c r="F33" s="27" t="s">
        <v>41</v>
      </c>
      <c r="G33" s="27" t="s">
        <v>16</v>
      </c>
      <c r="H33" s="27" t="s">
        <v>17</v>
      </c>
      <c r="I33" s="4" t="s">
        <v>44</v>
      </c>
      <c r="J33" s="30" t="s">
        <v>27</v>
      </c>
      <c r="K33" s="30" t="s">
        <v>25</v>
      </c>
      <c r="L33" s="32">
        <v>170</v>
      </c>
      <c r="M33" s="33">
        <v>90</v>
      </c>
      <c r="N33" s="27"/>
    </row>
    <row r="34" spans="2:16" ht="15" thickBot="1" x14ac:dyDescent="0.35">
      <c r="C34" s="9"/>
      <c r="D34" s="11"/>
      <c r="E34" s="13"/>
      <c r="F34" s="15"/>
      <c r="G34" s="15"/>
      <c r="H34" s="15"/>
      <c r="I34" s="5">
        <v>0.70833333333333337</v>
      </c>
      <c r="J34" s="31"/>
      <c r="K34" s="31"/>
      <c r="L34" s="21"/>
      <c r="M34" s="23"/>
      <c r="N34" s="15"/>
    </row>
    <row r="35" spans="2:16" ht="22.8" x14ac:dyDescent="0.3">
      <c r="C35" s="36"/>
      <c r="D35" s="38" t="s">
        <v>45</v>
      </c>
      <c r="E35" s="40" t="s">
        <v>14</v>
      </c>
      <c r="F35" s="42" t="s">
        <v>22</v>
      </c>
      <c r="G35" s="42" t="s">
        <v>39</v>
      </c>
      <c r="H35" s="42" t="s">
        <v>17</v>
      </c>
      <c r="I35" s="6" t="s">
        <v>46</v>
      </c>
      <c r="J35" s="44" t="s">
        <v>27</v>
      </c>
      <c r="K35" s="46" t="s">
        <v>47</v>
      </c>
      <c r="L35" s="48">
        <v>160</v>
      </c>
      <c r="M35" s="50">
        <v>90</v>
      </c>
      <c r="N35" s="1"/>
    </row>
    <row r="36" spans="2:16" ht="15" thickBot="1" x14ac:dyDescent="0.35">
      <c r="C36" s="37"/>
      <c r="D36" s="39"/>
      <c r="E36" s="41"/>
      <c r="F36" s="43"/>
      <c r="G36" s="43"/>
      <c r="H36" s="43"/>
      <c r="I36" s="7">
        <v>0.66666666666666663</v>
      </c>
      <c r="J36" s="45"/>
      <c r="K36" s="47"/>
      <c r="L36" s="49"/>
      <c r="M36" s="51"/>
      <c r="N36" s="1"/>
    </row>
    <row r="37" spans="2:16" x14ac:dyDescent="0.3">
      <c r="P37" s="77">
        <f>SUM(M21:M36)</f>
        <v>967.5</v>
      </c>
    </row>
    <row r="39" spans="2:16" ht="14.4" customHeight="1" x14ac:dyDescent="0.3">
      <c r="B39" t="s">
        <v>48</v>
      </c>
      <c r="C39" t="s">
        <v>49</v>
      </c>
      <c r="D39" t="s">
        <v>50</v>
      </c>
      <c r="E39" t="s">
        <v>51</v>
      </c>
      <c r="F39" t="s">
        <v>52</v>
      </c>
      <c r="G39" t="s">
        <v>53</v>
      </c>
      <c r="H39" t="s">
        <v>54</v>
      </c>
      <c r="I39" t="s">
        <v>55</v>
      </c>
      <c r="J39" t="s">
        <v>56</v>
      </c>
      <c r="K39" t="s">
        <v>57</v>
      </c>
      <c r="L39" t="s">
        <v>58</v>
      </c>
      <c r="M39" t="s">
        <v>59</v>
      </c>
      <c r="N39" t="s">
        <v>60</v>
      </c>
    </row>
    <row r="40" spans="2:16" ht="15" customHeight="1" x14ac:dyDescent="0.3">
      <c r="B40" t="s">
        <v>61</v>
      </c>
      <c r="C40" t="s">
        <v>62</v>
      </c>
      <c r="D40" t="s">
        <v>63</v>
      </c>
      <c r="E40" t="s">
        <v>64</v>
      </c>
      <c r="F40" s="68">
        <v>45903.249105960647</v>
      </c>
      <c r="I40" s="68">
        <v>45903.249102916663</v>
      </c>
      <c r="J40" s="68">
        <v>45903.249102916663</v>
      </c>
      <c r="K40">
        <v>218.4</v>
      </c>
      <c r="L40">
        <v>105</v>
      </c>
      <c r="M40">
        <v>2.08</v>
      </c>
      <c r="N40" t="s">
        <v>65</v>
      </c>
    </row>
    <row r="41" spans="2:16" ht="19.2" customHeight="1" x14ac:dyDescent="0.3">
      <c r="B41" t="s">
        <v>66</v>
      </c>
      <c r="C41" t="s">
        <v>67</v>
      </c>
      <c r="D41" t="s">
        <v>63</v>
      </c>
      <c r="E41" t="s">
        <v>64</v>
      </c>
      <c r="F41" s="68">
        <v>45903.25688061343</v>
      </c>
      <c r="I41" s="68">
        <v>45903.256874513892</v>
      </c>
      <c r="J41" s="68">
        <v>45903.256874513892</v>
      </c>
      <c r="N41" t="s">
        <v>68</v>
      </c>
    </row>
    <row r="42" spans="2:16" ht="15" customHeight="1" x14ac:dyDescent="0.3">
      <c r="B42" t="s">
        <v>69</v>
      </c>
      <c r="C42" t="s">
        <v>70</v>
      </c>
      <c r="D42" t="s">
        <v>63</v>
      </c>
      <c r="E42" t="s">
        <v>64</v>
      </c>
      <c r="F42" s="68">
        <v>45903.58102020833</v>
      </c>
      <c r="I42" s="68">
        <v>45903.581028078705</v>
      </c>
      <c r="J42" s="68">
        <v>45903.581028078705</v>
      </c>
      <c r="K42">
        <v>437.85</v>
      </c>
      <c r="L42">
        <v>105</v>
      </c>
      <c r="M42">
        <v>4.17</v>
      </c>
      <c r="N42" t="s">
        <v>65</v>
      </c>
    </row>
    <row r="43" spans="2:16" ht="19.2" customHeight="1" x14ac:dyDescent="0.3">
      <c r="B43" t="s">
        <v>76</v>
      </c>
      <c r="C43" t="s">
        <v>74</v>
      </c>
      <c r="D43" t="s">
        <v>63</v>
      </c>
      <c r="E43" t="s">
        <v>64</v>
      </c>
      <c r="F43" s="68">
        <v>45903.581847766203</v>
      </c>
      <c r="I43" s="68">
        <v>45903.58185263889</v>
      </c>
      <c r="J43" s="68">
        <v>45903.58185263889</v>
      </c>
      <c r="K43">
        <v>393.75</v>
      </c>
      <c r="L43">
        <v>105</v>
      </c>
      <c r="M43">
        <v>3.75</v>
      </c>
      <c r="N43" t="s">
        <v>65</v>
      </c>
      <c r="P43">
        <f>SUM(K40:K43)</f>
        <v>1050</v>
      </c>
    </row>
    <row r="44" spans="2:16" ht="15" customHeight="1" x14ac:dyDescent="0.3">
      <c r="B44" t="s">
        <v>71</v>
      </c>
      <c r="C44" t="s">
        <v>67</v>
      </c>
      <c r="D44" t="s">
        <v>72</v>
      </c>
      <c r="E44" t="s">
        <v>64</v>
      </c>
      <c r="F44" s="68">
        <v>45903.256871736114</v>
      </c>
      <c r="I44" s="68">
        <v>45903.256866805554</v>
      </c>
      <c r="J44" s="68">
        <v>45903.256866805554</v>
      </c>
      <c r="K44">
        <v>525</v>
      </c>
      <c r="L44">
        <v>105</v>
      </c>
      <c r="M44">
        <v>5</v>
      </c>
      <c r="N44" t="s">
        <v>65</v>
      </c>
    </row>
    <row r="45" spans="2:16" ht="19.2" customHeight="1" x14ac:dyDescent="0.3">
      <c r="B45" t="s">
        <v>73</v>
      </c>
      <c r="C45" t="s">
        <v>74</v>
      </c>
      <c r="D45" t="s">
        <v>72</v>
      </c>
      <c r="E45" t="s">
        <v>64</v>
      </c>
      <c r="F45" s="68">
        <v>45903.581867372683</v>
      </c>
      <c r="I45" s="68">
        <v>45903.581872337963</v>
      </c>
      <c r="J45" s="68">
        <v>45903.581872337963</v>
      </c>
      <c r="K45">
        <v>393.75</v>
      </c>
      <c r="L45">
        <v>105</v>
      </c>
      <c r="M45">
        <v>3.75</v>
      </c>
      <c r="N45" t="s">
        <v>65</v>
      </c>
    </row>
    <row r="46" spans="2:16" ht="15" customHeight="1" thickBot="1" x14ac:dyDescent="0.35">
      <c r="B46" t="s">
        <v>75</v>
      </c>
      <c r="C46" t="s">
        <v>62</v>
      </c>
      <c r="D46" t="s">
        <v>72</v>
      </c>
      <c r="E46" t="s">
        <v>64</v>
      </c>
      <c r="F46" s="68">
        <v>45903.24909114583</v>
      </c>
      <c r="I46" s="68">
        <v>45903.249086261574</v>
      </c>
      <c r="J46" s="68">
        <v>45903.249086261574</v>
      </c>
      <c r="K46">
        <v>218.4</v>
      </c>
      <c r="L46">
        <v>105</v>
      </c>
      <c r="M46">
        <v>2.08</v>
      </c>
      <c r="N46" t="s">
        <v>65</v>
      </c>
    </row>
    <row r="47" spans="2:16" ht="19.2" customHeight="1" x14ac:dyDescent="0.3">
      <c r="D47" s="36"/>
      <c r="E47" s="58"/>
      <c r="F47" s="60"/>
      <c r="G47" s="62"/>
      <c r="H47" s="52"/>
      <c r="I47" s="54"/>
      <c r="J47" s="64"/>
      <c r="K47" s="66"/>
      <c r="L47" s="57"/>
      <c r="M47" s="1"/>
    </row>
    <row r="48" spans="2:16" ht="15" thickBot="1" x14ac:dyDescent="0.35">
      <c r="D48" s="37"/>
      <c r="E48" s="59"/>
      <c r="F48" s="61"/>
      <c r="G48" s="63"/>
      <c r="H48" s="53"/>
      <c r="I48" s="55"/>
      <c r="J48" s="65"/>
      <c r="K48" s="67"/>
      <c r="L48" s="56"/>
      <c r="M48" s="1"/>
    </row>
  </sheetData>
  <autoFilter ref="B39:N46" xr:uid="{84308145-5B1D-4AFF-977B-9892A6586D47}">
    <sortState xmlns:xlrd2="http://schemas.microsoft.com/office/spreadsheetml/2017/richdata2" ref="B40:N46">
      <sortCondition ref="D39:D46"/>
    </sortState>
  </autoFilter>
  <mergeCells count="149">
    <mergeCell ref="L47:L48"/>
    <mergeCell ref="D47:D48"/>
    <mergeCell ref="E47:E48"/>
    <mergeCell ref="F47:F48"/>
    <mergeCell ref="G47:G48"/>
    <mergeCell ref="J47:J48"/>
    <mergeCell ref="K47:K48"/>
    <mergeCell ref="J35:J36"/>
    <mergeCell ref="K35:K36"/>
    <mergeCell ref="L35:L36"/>
    <mergeCell ref="M35:M36"/>
    <mergeCell ref="C35:C36"/>
    <mergeCell ref="D35:D36"/>
    <mergeCell ref="E35:E36"/>
    <mergeCell ref="F35:F36"/>
    <mergeCell ref="G35:G36"/>
    <mergeCell ref="H35:H36"/>
    <mergeCell ref="H33:H34"/>
    <mergeCell ref="J33:J34"/>
    <mergeCell ref="K33:K34"/>
    <mergeCell ref="L33:L34"/>
    <mergeCell ref="M33:M34"/>
    <mergeCell ref="N33:N34"/>
    <mergeCell ref="J31:J32"/>
    <mergeCell ref="K31:K32"/>
    <mergeCell ref="L31:L32"/>
    <mergeCell ref="M31:M32"/>
    <mergeCell ref="N31:N32"/>
    <mergeCell ref="C33:C34"/>
    <mergeCell ref="D33:D34"/>
    <mergeCell ref="E33:E34"/>
    <mergeCell ref="F33:F34"/>
    <mergeCell ref="G33:G34"/>
    <mergeCell ref="C31:C32"/>
    <mergeCell ref="D31:D32"/>
    <mergeCell ref="E31:E32"/>
    <mergeCell ref="F31:F32"/>
    <mergeCell ref="G31:G32"/>
    <mergeCell ref="H31:H32"/>
    <mergeCell ref="H29:H30"/>
    <mergeCell ref="J29:J30"/>
    <mergeCell ref="K29:K30"/>
    <mergeCell ref="L29:L30"/>
    <mergeCell ref="M29:M30"/>
    <mergeCell ref="N29:N30"/>
    <mergeCell ref="J27:J28"/>
    <mergeCell ref="K27:K28"/>
    <mergeCell ref="L27:L28"/>
    <mergeCell ref="M27:M28"/>
    <mergeCell ref="N27:N28"/>
    <mergeCell ref="C29:C30"/>
    <mergeCell ref="D29:D30"/>
    <mergeCell ref="E29:E30"/>
    <mergeCell ref="F29:F30"/>
    <mergeCell ref="G29:G30"/>
    <mergeCell ref="C27:C28"/>
    <mergeCell ref="D27:D28"/>
    <mergeCell ref="E27:E28"/>
    <mergeCell ref="F27:F28"/>
    <mergeCell ref="G27:G28"/>
    <mergeCell ref="H27:H28"/>
    <mergeCell ref="H25:H26"/>
    <mergeCell ref="J25:J26"/>
    <mergeCell ref="K25:K26"/>
    <mergeCell ref="L25:L26"/>
    <mergeCell ref="M25:M26"/>
    <mergeCell ref="N25:N26"/>
    <mergeCell ref="J23:J24"/>
    <mergeCell ref="K23:K24"/>
    <mergeCell ref="L23:L24"/>
    <mergeCell ref="M23:M24"/>
    <mergeCell ref="N23:N24"/>
    <mergeCell ref="C25:C26"/>
    <mergeCell ref="D25:D26"/>
    <mergeCell ref="E25:E26"/>
    <mergeCell ref="F25:F26"/>
    <mergeCell ref="G25:G26"/>
    <mergeCell ref="C23:C24"/>
    <mergeCell ref="D23:D24"/>
    <mergeCell ref="E23:E24"/>
    <mergeCell ref="F23:F24"/>
    <mergeCell ref="G23:G24"/>
    <mergeCell ref="H23:H24"/>
    <mergeCell ref="H21:H22"/>
    <mergeCell ref="J21:J22"/>
    <mergeCell ref="K21:K22"/>
    <mergeCell ref="L21:L22"/>
    <mergeCell ref="M21:M22"/>
    <mergeCell ref="N21:N22"/>
    <mergeCell ref="J18:J19"/>
    <mergeCell ref="K18:K19"/>
    <mergeCell ref="L18:L19"/>
    <mergeCell ref="M18:M19"/>
    <mergeCell ref="N18:N19"/>
    <mergeCell ref="C21:C22"/>
    <mergeCell ref="D21:D22"/>
    <mergeCell ref="E21:E22"/>
    <mergeCell ref="F21:F22"/>
    <mergeCell ref="G21:G22"/>
    <mergeCell ref="C18:C19"/>
    <mergeCell ref="D18:D19"/>
    <mergeCell ref="E18:E19"/>
    <mergeCell ref="F18:F19"/>
    <mergeCell ref="G18:G19"/>
    <mergeCell ref="H18:H19"/>
    <mergeCell ref="H16:H17"/>
    <mergeCell ref="J16:J17"/>
    <mergeCell ref="K16:K17"/>
    <mergeCell ref="L16:L17"/>
    <mergeCell ref="M16:M17"/>
    <mergeCell ref="N16:N17"/>
    <mergeCell ref="J14:J15"/>
    <mergeCell ref="K14:K15"/>
    <mergeCell ref="L14:L15"/>
    <mergeCell ref="M14:M15"/>
    <mergeCell ref="N14:N15"/>
    <mergeCell ref="C16:C17"/>
    <mergeCell ref="D16:D17"/>
    <mergeCell ref="E16:E17"/>
    <mergeCell ref="F16:F17"/>
    <mergeCell ref="G16:G17"/>
    <mergeCell ref="C14:C15"/>
    <mergeCell ref="D14:D15"/>
    <mergeCell ref="E14:E15"/>
    <mergeCell ref="F14:F15"/>
    <mergeCell ref="G14:G15"/>
    <mergeCell ref="H14:H15"/>
    <mergeCell ref="H12:H13"/>
    <mergeCell ref="J12:J13"/>
    <mergeCell ref="K12:K13"/>
    <mergeCell ref="L12:L13"/>
    <mergeCell ref="M12:M13"/>
    <mergeCell ref="N12:N13"/>
    <mergeCell ref="J10:J11"/>
    <mergeCell ref="K10:K11"/>
    <mergeCell ref="L10:L11"/>
    <mergeCell ref="M10:M11"/>
    <mergeCell ref="N10:N11"/>
    <mergeCell ref="C12:C13"/>
    <mergeCell ref="D12:D13"/>
    <mergeCell ref="E12:E13"/>
    <mergeCell ref="F12:F13"/>
    <mergeCell ref="G12:G13"/>
    <mergeCell ref="C10:C11"/>
    <mergeCell ref="D10:D11"/>
    <mergeCell ref="E10:E11"/>
    <mergeCell ref="F10:F11"/>
    <mergeCell ref="G10:G11"/>
    <mergeCell ref="H10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Leonard</dc:creator>
  <cp:lastModifiedBy>Aidan Leonard</cp:lastModifiedBy>
  <dcterms:created xsi:type="dcterms:W3CDTF">2025-09-03T14:21:34Z</dcterms:created>
  <dcterms:modified xsi:type="dcterms:W3CDTF">2025-09-03T14:34:14Z</dcterms:modified>
</cp:coreProperties>
</file>